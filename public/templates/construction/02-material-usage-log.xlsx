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gitGlance\Documents\Projects\digitglance\knowledge\templates\"/>
    </mc:Choice>
  </mc:AlternateContent>
  <xr:revisionPtr revIDLastSave="0" documentId="8_{A96BA72D-ED1D-46BE-8827-B4DC2467D8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w to Use" sheetId="1" r:id="rId1"/>
    <sheet name="Material Usage Log" sheetId="2" r:id="rId2"/>
  </sheets>
  <calcPr calcId="181029"/>
  <fileRecoveryPr repairLoad="1"/>
</workbook>
</file>

<file path=xl/calcChain.xml><?xml version="1.0" encoding="utf-8"?>
<calcChain xmlns="http://schemas.openxmlformats.org/spreadsheetml/2006/main">
  <c r="K30" i="2" l="1"/>
  <c r="G30" i="2"/>
  <c r="I30" i="2" s="1"/>
  <c r="M30" i="2" s="1"/>
  <c r="K29" i="2"/>
  <c r="G29" i="2"/>
  <c r="I29" i="2" s="1"/>
  <c r="M29" i="2" s="1"/>
  <c r="K28" i="2"/>
  <c r="G28" i="2"/>
  <c r="I28" i="2" s="1"/>
  <c r="M28" i="2" s="1"/>
  <c r="K27" i="2"/>
  <c r="G27" i="2"/>
  <c r="I27" i="2" s="1"/>
  <c r="M27" i="2" s="1"/>
  <c r="K26" i="2"/>
  <c r="G26" i="2"/>
  <c r="I26" i="2" s="1"/>
  <c r="M26" i="2" s="1"/>
  <c r="K25" i="2"/>
  <c r="G25" i="2"/>
  <c r="I25" i="2" s="1"/>
  <c r="M25" i="2" s="1"/>
  <c r="K24" i="2"/>
  <c r="G24" i="2"/>
  <c r="I24" i="2" s="1"/>
  <c r="M24" i="2" s="1"/>
  <c r="K23" i="2"/>
  <c r="G23" i="2"/>
  <c r="I23" i="2" s="1"/>
  <c r="M23" i="2" s="1"/>
  <c r="K22" i="2"/>
  <c r="G22" i="2"/>
  <c r="I22" i="2" s="1"/>
  <c r="M22" i="2" s="1"/>
  <c r="K21" i="2"/>
  <c r="G21" i="2"/>
  <c r="I21" i="2" s="1"/>
  <c r="M21" i="2" s="1"/>
  <c r="K20" i="2"/>
  <c r="G20" i="2"/>
  <c r="I20" i="2" s="1"/>
  <c r="M20" i="2" s="1"/>
  <c r="K19" i="2"/>
  <c r="G19" i="2"/>
  <c r="I19" i="2" s="1"/>
  <c r="M19" i="2" s="1"/>
  <c r="K18" i="2"/>
  <c r="G18" i="2"/>
  <c r="I18" i="2" s="1"/>
  <c r="M18" i="2" s="1"/>
  <c r="K17" i="2"/>
  <c r="G17" i="2"/>
  <c r="I17" i="2" s="1"/>
  <c r="M17" i="2" s="1"/>
  <c r="K16" i="2"/>
  <c r="G16" i="2"/>
  <c r="I16" i="2" s="1"/>
  <c r="M16" i="2" s="1"/>
  <c r="K15" i="2"/>
  <c r="G15" i="2"/>
  <c r="I15" i="2" s="1"/>
  <c r="M15" i="2" s="1"/>
  <c r="K14" i="2"/>
  <c r="G14" i="2"/>
  <c r="I14" i="2" s="1"/>
  <c r="M14" i="2" s="1"/>
  <c r="K13" i="2"/>
  <c r="G13" i="2"/>
  <c r="I13" i="2" s="1"/>
  <c r="M13" i="2" s="1"/>
  <c r="K12" i="2"/>
  <c r="G12" i="2"/>
  <c r="I12" i="2" s="1"/>
  <c r="M12" i="2" s="1"/>
  <c r="K11" i="2"/>
  <c r="G11" i="2"/>
  <c r="I11" i="2" s="1"/>
  <c r="M11" i="2" s="1"/>
  <c r="M31" i="2" s="1"/>
</calcChain>
</file>

<file path=xl/sharedStrings.xml><?xml version="1.0" encoding="utf-8"?>
<sst xmlns="http://schemas.openxmlformats.org/spreadsheetml/2006/main" count="93" uniqueCount="79">
  <si>
    <t>HOW TO USE  |  Material Usage Log  |  Digitglance Reliance</t>
  </si>
  <si>
    <t xml:space="preserve">  Yellow cells = enter data  |  Green cells = auto-calculated (do not edit)  |  Read each step first</t>
  </si>
  <si>
    <t xml:space="preserve">   Step 1:  Site Info  —  Enter site name, supervisor and reporting month in the header fields</t>
  </si>
  <si>
    <t xml:space="preserve">   Step 2:  Materials  —  Enter each material name in Column B using Nigerian trade names</t>
  </si>
  <si>
    <t xml:space="preserve">   Step 3:  Opening Stock  —  Enter quantity on hand at the START of the reporting period in Column E</t>
  </si>
  <si>
    <t xml:space="preserve">   Step 4:  Receipts  —  Record new deliveries in Column F with supplier details in Column D</t>
  </si>
  <si>
    <t xml:space="preserve">   Step 5:  Qty Used  —  Enter total quantity used on site during the period in Column H</t>
  </si>
  <si>
    <t xml:space="preserve">   Step 6:  Closing Stock  —  Auto-calculates: Opening + Received minus Used. Do not edit</t>
  </si>
  <si>
    <t xml:space="preserve">   Step 7:  Reorder Alert  —  Shows REORDER NOW when closing stock falls to or below the reorder level</t>
  </si>
  <si>
    <t xml:space="preserve">   Step 8:  Stock Value  —  Enter unit cost to auto-calculate total value of closing stock</t>
  </si>
  <si>
    <t xml:space="preserve">  DIGITGLANCE RELIANCE   |   Material Usage Log</t>
  </si>
  <si>
    <t xml:space="preserve">  Construction | Site material control — receipts, usage, closing stock, reorder alerts | N</t>
  </si>
  <si>
    <t xml:space="preserve">  Business Name: ___________________________________________</t>
  </si>
  <si>
    <t xml:space="preserve">  Date: 26/04/2026   |   www.digitglance.com</t>
  </si>
  <si>
    <t>Site Name:</t>
  </si>
  <si>
    <t>Lekki Phase 2 — Block A</t>
  </si>
  <si>
    <t>Supervisor:</t>
  </si>
  <si>
    <t>Reporting Month:</t>
  </si>
  <si>
    <t>Prepared By:</t>
  </si>
  <si>
    <t>#</t>
  </si>
  <si>
    <t>Material Name</t>
  </si>
  <si>
    <t>Unit</t>
  </si>
  <si>
    <t>Supplier</t>
  </si>
  <si>
    <t>Opening
Stock</t>
  </si>
  <si>
    <t>Qty
Received</t>
  </si>
  <si>
    <t>Total
Available</t>
  </si>
  <si>
    <t>Qty Used
on Site</t>
  </si>
  <si>
    <t>Closing
Stock</t>
  </si>
  <si>
    <t>Reorder
Level</t>
  </si>
  <si>
    <t>Reorder Alert</t>
  </si>
  <si>
    <t>Unit Cost
(N)</t>
  </si>
  <si>
    <t>Stock Value
(N)</t>
  </si>
  <si>
    <t>Cement — Dangote 50kg bag</t>
  </si>
  <si>
    <t>Bags</t>
  </si>
  <si>
    <t>Dangote Cement Distributors, Lagos</t>
  </si>
  <si>
    <t>Reinforcement Bar — 16mm</t>
  </si>
  <si>
    <t>Lengths</t>
  </si>
  <si>
    <t>Oshogbo Steel Mills, Mushin</t>
  </si>
  <si>
    <t>Reinforcement Bar — 12mm</t>
  </si>
  <si>
    <t>Sharp Sand (Concrete Grade)</t>
  </si>
  <si>
    <t>Tonnes</t>
  </si>
  <si>
    <t>Local Sand Supplier, Ikorodu</t>
  </si>
  <si>
    <t>Granite — 3/4 inch Aggregate</t>
  </si>
  <si>
    <t>Quarry Direct, Sagamu Rd</t>
  </si>
  <si>
    <t>Hollow Blocks — 9-inch</t>
  </si>
  <si>
    <t>Pieces</t>
  </si>
  <si>
    <t>Block Industry, Oshodi</t>
  </si>
  <si>
    <t>Hollow Blocks — 6-inch</t>
  </si>
  <si>
    <t>Binding Wire (Tying Wire)</t>
  </si>
  <si>
    <t>Kg</t>
  </si>
  <si>
    <t>Hardware Store, Alaba Market</t>
  </si>
  <si>
    <t>Roofing Sheets — Long Span Aluzinc</t>
  </si>
  <si>
    <t>Sheets</t>
  </si>
  <si>
    <t>Alexim Stores, Apapa</t>
  </si>
  <si>
    <t>Timber Planks — 2x4 inch</t>
  </si>
  <si>
    <t>Wood Depot, Ikeja</t>
  </si>
  <si>
    <t>Plywood — 18mm Shuttering</t>
  </si>
  <si>
    <t>Plywood Depot, Oshodi</t>
  </si>
  <si>
    <t>PVC Conduit — 20mm</t>
  </si>
  <si>
    <t>Mikano Electrical, Lagos</t>
  </si>
  <si>
    <t>PPR Plumbing Pipe — 25mm</t>
  </si>
  <si>
    <t>Plumb Masters, V.I.</t>
  </si>
  <si>
    <t>Ceramic Tiles — 60x60cm</t>
  </si>
  <si>
    <t>Cartons</t>
  </si>
  <si>
    <t>Lifegate Tiles, Surulere</t>
  </si>
  <si>
    <t>Emulsion Paint — 20L White</t>
  </si>
  <si>
    <t>Buckets</t>
  </si>
  <si>
    <t>Jotun Nigeria, Lagos</t>
  </si>
  <si>
    <t>Sandcrete Blocks — 450mm</t>
  </si>
  <si>
    <t>Local Block Maker, Agege</t>
  </si>
  <si>
    <t>POP Ceiling Board</t>
  </si>
  <si>
    <t>Building Materials, Ojota</t>
  </si>
  <si>
    <t>Electrical Cable — 2.5mm</t>
  </si>
  <si>
    <t>Metres</t>
  </si>
  <si>
    <t>Water Pipe — 1/2 inch PVC</t>
  </si>
  <si>
    <t>Anti-rust Paint (Red Oxide)</t>
  </si>
  <si>
    <t>Litres</t>
  </si>
  <si>
    <t>Crown Paints Distributor</t>
  </si>
  <si>
    <t>TOTAL STOCK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</si>
</sst>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sz val="10"/>
      <color rgb="FF111111"/>
      <name val="Arial"/>
    </font>
    <font>
      <b/>
      <sz val="9"/>
      <color rgb="FF085041"/>
      <name val="Arial"/>
    </font>
    <font>
      <sz val="9"/>
      <color rgb="FF085041"/>
      <name val="Arial"/>
    </font>
    <font>
      <b/>
      <sz val="10"/>
      <color rgb="FF085041"/>
      <name val="Arial"/>
    </font>
    <font>
      <i/>
      <sz val="9"/>
      <color rgb="FF555555"/>
      <name val="Arial"/>
    </font>
    <font>
      <sz val="10"/>
      <color rgb="FF555555"/>
      <name val="Arial"/>
    </font>
    <font>
      <b/>
      <sz val="9"/>
      <color rgb="FFFFFFFF"/>
      <name val="Arial"/>
    </font>
    <font>
      <sz val="9"/>
      <color rgb="FF555555"/>
      <name val="Arial"/>
    </font>
    <font>
      <sz val="8"/>
      <color rgb="FF555555"/>
      <name val="Arial"/>
    </font>
    <font>
      <b/>
      <sz val="9"/>
      <color rgb="FF555555"/>
      <name val="Arial"/>
    </font>
  </fonts>
  <fills count="8">
    <fill>
      <patternFill patternType="none"/>
    </fill>
    <fill>
      <patternFill patternType="gray125"/>
    </fill>
    <fill>
      <patternFill patternType="solid">
        <fgColor rgb="FF085041"/>
      </patternFill>
    </fill>
    <fill>
      <patternFill patternType="solid">
        <fgColor rgb="FF1D9E75"/>
      </patternFill>
    </fill>
    <fill>
      <patternFill patternType="solid">
        <fgColor rgb="FFF4F6F4"/>
      </patternFill>
    </fill>
    <fill>
      <patternFill patternType="solid">
        <fgColor rgb="FFFFFFFF"/>
      </patternFill>
    </fill>
    <fill>
      <patternFill patternType="solid">
        <fgColor rgb="FFD4F0E4"/>
      </patternFill>
    </fill>
    <fill>
      <patternFill patternType="solid">
        <fgColor rgb="FFFFFBE6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1D9E75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4" borderId="0" xfId="0" applyFill="1"/>
    <xf numFmtId="0" fontId="6" fillId="6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3" fontId="8" fillId="7" borderId="1" xfId="0" applyNumberFormat="1" applyFont="1" applyFill="1" applyBorder="1" applyAlignment="1">
      <alignment horizontal="right" vertical="center"/>
    </xf>
    <xf numFmtId="3" fontId="6" fillId="6" borderId="3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6" borderId="0" xfId="0" applyFont="1" applyFill="1" applyAlignment="1">
      <alignment horizontal="right" vertical="center"/>
    </xf>
    <xf numFmtId="0" fontId="0" fillId="4" borderId="0" xfId="0" applyFill="1"/>
    <xf numFmtId="0" fontId="4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A14" sqref="A14"/>
    </sheetView>
  </sheetViews>
  <sheetFormatPr defaultRowHeight="15" x14ac:dyDescent="0.25"/>
  <cols>
    <col min="1" max="1" width="100" customWidth="1"/>
  </cols>
  <sheetData>
    <row r="1" spans="1:8" ht="36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</row>
    <row r="2" spans="1:8" ht="15.95" customHeight="1" x14ac:dyDescent="0.25">
      <c r="A2" s="27" t="s">
        <v>1</v>
      </c>
      <c r="B2" s="24"/>
      <c r="C2" s="24"/>
      <c r="D2" s="24"/>
      <c r="E2" s="24"/>
      <c r="F2" s="24"/>
      <c r="G2" s="24"/>
      <c r="H2" s="24"/>
    </row>
    <row r="3" spans="1:8" ht="8.1" customHeight="1" x14ac:dyDescent="0.25"/>
    <row r="4" spans="1:8" ht="17.100000000000001" customHeight="1" x14ac:dyDescent="0.25">
      <c r="A4" s="25" t="s">
        <v>2</v>
      </c>
      <c r="B4" s="24"/>
      <c r="C4" s="24"/>
      <c r="D4" s="24"/>
      <c r="E4" s="24"/>
      <c r="F4" s="24"/>
      <c r="G4" s="24"/>
      <c r="H4" s="24"/>
    </row>
    <row r="5" spans="1:8" ht="17.100000000000001" customHeight="1" x14ac:dyDescent="0.25">
      <c r="A5" s="26" t="s">
        <v>3</v>
      </c>
      <c r="B5" s="24"/>
      <c r="C5" s="24"/>
      <c r="D5" s="24"/>
      <c r="E5" s="24"/>
      <c r="F5" s="24"/>
      <c r="G5" s="24"/>
      <c r="H5" s="24"/>
    </row>
    <row r="6" spans="1:8" ht="17.100000000000001" customHeight="1" x14ac:dyDescent="0.25">
      <c r="A6" s="25" t="s">
        <v>4</v>
      </c>
      <c r="B6" s="24"/>
      <c r="C6" s="24"/>
      <c r="D6" s="24"/>
      <c r="E6" s="24"/>
      <c r="F6" s="24"/>
      <c r="G6" s="24"/>
      <c r="H6" s="24"/>
    </row>
    <row r="7" spans="1:8" ht="17.100000000000001" customHeight="1" x14ac:dyDescent="0.25">
      <c r="A7" s="26" t="s">
        <v>5</v>
      </c>
      <c r="B7" s="24"/>
      <c r="C7" s="24"/>
      <c r="D7" s="24"/>
      <c r="E7" s="24"/>
      <c r="F7" s="24"/>
      <c r="G7" s="24"/>
      <c r="H7" s="24"/>
    </row>
    <row r="8" spans="1:8" ht="17.100000000000001" customHeight="1" x14ac:dyDescent="0.25">
      <c r="A8" s="25" t="s">
        <v>6</v>
      </c>
      <c r="B8" s="24"/>
      <c r="C8" s="24"/>
      <c r="D8" s="24"/>
      <c r="E8" s="24"/>
      <c r="F8" s="24"/>
      <c r="G8" s="24"/>
      <c r="H8" s="24"/>
    </row>
    <row r="9" spans="1:8" ht="17.100000000000001" customHeight="1" x14ac:dyDescent="0.25">
      <c r="A9" s="26" t="s">
        <v>7</v>
      </c>
      <c r="B9" s="24"/>
      <c r="C9" s="24"/>
      <c r="D9" s="24"/>
      <c r="E9" s="24"/>
      <c r="F9" s="24"/>
      <c r="G9" s="24"/>
      <c r="H9" s="24"/>
    </row>
    <row r="10" spans="1:8" ht="17.100000000000001" customHeight="1" x14ac:dyDescent="0.25">
      <c r="A10" s="25" t="s">
        <v>8</v>
      </c>
      <c r="B10" s="24"/>
      <c r="C10" s="24"/>
      <c r="D10" s="24"/>
      <c r="E10" s="24"/>
      <c r="F10" s="24"/>
      <c r="G10" s="24"/>
      <c r="H10" s="24"/>
    </row>
    <row r="11" spans="1:8" ht="17.100000000000001" customHeight="1" x14ac:dyDescent="0.25">
      <c r="A11" s="26" t="s">
        <v>9</v>
      </c>
      <c r="B11" s="24"/>
      <c r="C11" s="24"/>
      <c r="D11" s="24"/>
      <c r="E11" s="24"/>
      <c r="F11" s="24"/>
      <c r="G11" s="24"/>
      <c r="H11" s="24"/>
    </row>
  </sheetData>
  <mergeCells count="10">
    <mergeCell ref="A10:H10"/>
    <mergeCell ref="A11:H11"/>
    <mergeCell ref="A5:H5"/>
    <mergeCell ref="A8:H8"/>
    <mergeCell ref="A6:H6"/>
    <mergeCell ref="A1:H1"/>
    <mergeCell ref="A4:H4"/>
    <mergeCell ref="A9:H9"/>
    <mergeCell ref="A7:H7"/>
    <mergeCell ref="A2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showGridLines="0" tabSelected="1" workbookViewId="0">
      <pane xSplit="4" ySplit="10" topLeftCell="E11" activePane="bottomRight" state="frozen"/>
      <selection pane="topRight"/>
      <selection pane="bottomLeft"/>
      <selection pane="bottomRight" activeCell="D12" sqref="D12"/>
    </sheetView>
  </sheetViews>
  <sheetFormatPr defaultRowHeight="15" x14ac:dyDescent="0.25"/>
  <cols>
    <col min="1" max="1" width="4" customWidth="1"/>
    <col min="2" max="2" width="36" customWidth="1"/>
    <col min="3" max="3" width="9" customWidth="1"/>
    <col min="4" max="4" width="28" customWidth="1"/>
    <col min="5" max="6" width="12" customWidth="1"/>
    <col min="7" max="8" width="14" customWidth="1"/>
    <col min="9" max="10" width="13" customWidth="1"/>
    <col min="11" max="12" width="14" customWidth="1"/>
    <col min="13" max="13" width="16" customWidth="1"/>
  </cols>
  <sheetData>
    <row r="1" spans="1:13" ht="36" customHeight="1" x14ac:dyDescent="0.25">
      <c r="A1" s="28" t="s">
        <v>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95" customHeight="1" x14ac:dyDescent="0.25">
      <c r="A2" s="32" t="s">
        <v>11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95" customHeight="1" x14ac:dyDescent="0.25">
      <c r="A3" s="31" t="s">
        <v>12</v>
      </c>
      <c r="B3" s="24"/>
      <c r="C3" s="24"/>
      <c r="D3" s="24"/>
      <c r="E3" s="24"/>
      <c r="F3" s="24"/>
      <c r="G3" s="29" t="s">
        <v>13</v>
      </c>
      <c r="H3" s="24"/>
      <c r="I3" s="24"/>
      <c r="J3" s="24"/>
      <c r="K3" s="24"/>
      <c r="L3" s="24"/>
      <c r="M3" s="24"/>
    </row>
    <row r="4" spans="1:13" ht="5.0999999999999996" customHeight="1" x14ac:dyDescent="0.25">
      <c r="A4" s="30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17.100000000000001" customHeight="1" x14ac:dyDescent="0.25">
      <c r="A5" s="2" t="s">
        <v>14</v>
      </c>
      <c r="B5" s="3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7.100000000000001" customHeight="1" x14ac:dyDescent="0.25">
      <c r="A6" s="2" t="s">
        <v>16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7.100000000000001" customHeight="1" x14ac:dyDescent="0.25">
      <c r="A7" s="2" t="s">
        <v>17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7.100000000000001" customHeight="1" x14ac:dyDescent="0.25">
      <c r="A8" s="2" t="s">
        <v>18</v>
      </c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8.1" customHeight="1" x14ac:dyDescent="0.25"/>
    <row r="10" spans="1:13" ht="24" customHeight="1" x14ac:dyDescent="0.25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5" t="s">
        <v>28</v>
      </c>
      <c r="K10" s="5" t="s">
        <v>29</v>
      </c>
      <c r="L10" s="5" t="s">
        <v>30</v>
      </c>
      <c r="M10" s="5" t="s">
        <v>31</v>
      </c>
    </row>
    <row r="11" spans="1:13" ht="20.100000000000001" customHeight="1" x14ac:dyDescent="0.25">
      <c r="A11" s="6">
        <v>1</v>
      </c>
      <c r="B11" s="7" t="s">
        <v>32</v>
      </c>
      <c r="C11" s="8" t="s">
        <v>33</v>
      </c>
      <c r="D11" s="9" t="s">
        <v>34</v>
      </c>
      <c r="E11" s="10"/>
      <c r="F11" s="10"/>
      <c r="G11" s="11">
        <f t="shared" ref="G11:G30" si="0">E11+F11</f>
        <v>0</v>
      </c>
      <c r="H11" s="10"/>
      <c r="I11" s="11">
        <f t="shared" ref="I11:I30" si="1">G11-H11</f>
        <v>0</v>
      </c>
      <c r="J11" s="10"/>
      <c r="K11" s="12" t="str">
        <f t="shared" ref="K11:K30" si="2">IF(J11="","--",IF(I11&lt;=J11,"REORDER NOW","OK"))</f>
        <v>--</v>
      </c>
      <c r="L11" s="13"/>
      <c r="M11" s="14">
        <f t="shared" ref="M11:M30" si="3">I11*L11</f>
        <v>0</v>
      </c>
    </row>
    <row r="12" spans="1:13" ht="20.100000000000001" customHeight="1" x14ac:dyDescent="0.25">
      <c r="A12" s="15">
        <v>2</v>
      </c>
      <c r="B12" s="16" t="s">
        <v>35</v>
      </c>
      <c r="C12" s="17" t="s">
        <v>36</v>
      </c>
      <c r="D12" s="18" t="s">
        <v>37</v>
      </c>
      <c r="E12" s="10"/>
      <c r="F12" s="10"/>
      <c r="G12" s="11">
        <f t="shared" si="0"/>
        <v>0</v>
      </c>
      <c r="H12" s="10"/>
      <c r="I12" s="11">
        <f t="shared" si="1"/>
        <v>0</v>
      </c>
      <c r="J12" s="10"/>
      <c r="K12" s="19" t="str">
        <f t="shared" si="2"/>
        <v>--</v>
      </c>
      <c r="L12" s="13"/>
      <c r="M12" s="14">
        <f t="shared" si="3"/>
        <v>0</v>
      </c>
    </row>
    <row r="13" spans="1:13" ht="20.100000000000001" customHeight="1" x14ac:dyDescent="0.25">
      <c r="A13" s="6">
        <v>3</v>
      </c>
      <c r="B13" s="7" t="s">
        <v>38</v>
      </c>
      <c r="C13" s="8" t="s">
        <v>36</v>
      </c>
      <c r="D13" s="9" t="s">
        <v>37</v>
      </c>
      <c r="E13" s="10"/>
      <c r="F13" s="10"/>
      <c r="G13" s="11">
        <f t="shared" si="0"/>
        <v>0</v>
      </c>
      <c r="H13" s="10"/>
      <c r="I13" s="11">
        <f t="shared" si="1"/>
        <v>0</v>
      </c>
      <c r="J13" s="10"/>
      <c r="K13" s="12" t="str">
        <f t="shared" si="2"/>
        <v>--</v>
      </c>
      <c r="L13" s="13"/>
      <c r="M13" s="14">
        <f t="shared" si="3"/>
        <v>0</v>
      </c>
    </row>
    <row r="14" spans="1:13" ht="20.100000000000001" customHeight="1" x14ac:dyDescent="0.25">
      <c r="A14" s="15">
        <v>4</v>
      </c>
      <c r="B14" s="16" t="s">
        <v>39</v>
      </c>
      <c r="C14" s="17" t="s">
        <v>40</v>
      </c>
      <c r="D14" s="18" t="s">
        <v>41</v>
      </c>
      <c r="E14" s="10"/>
      <c r="F14" s="10"/>
      <c r="G14" s="11">
        <f t="shared" si="0"/>
        <v>0</v>
      </c>
      <c r="H14" s="10"/>
      <c r="I14" s="11">
        <f t="shared" si="1"/>
        <v>0</v>
      </c>
      <c r="J14" s="10"/>
      <c r="K14" s="19" t="str">
        <f t="shared" si="2"/>
        <v>--</v>
      </c>
      <c r="L14" s="13"/>
      <c r="M14" s="14">
        <f t="shared" si="3"/>
        <v>0</v>
      </c>
    </row>
    <row r="15" spans="1:13" ht="20.100000000000001" customHeight="1" x14ac:dyDescent="0.25">
      <c r="A15" s="6">
        <v>5</v>
      </c>
      <c r="B15" s="7" t="s">
        <v>42</v>
      </c>
      <c r="C15" s="8" t="s">
        <v>40</v>
      </c>
      <c r="D15" s="9" t="s">
        <v>43</v>
      </c>
      <c r="E15" s="10"/>
      <c r="F15" s="10"/>
      <c r="G15" s="11">
        <f t="shared" si="0"/>
        <v>0</v>
      </c>
      <c r="H15" s="10"/>
      <c r="I15" s="11">
        <f t="shared" si="1"/>
        <v>0</v>
      </c>
      <c r="J15" s="10"/>
      <c r="K15" s="12" t="str">
        <f t="shared" si="2"/>
        <v>--</v>
      </c>
      <c r="L15" s="13"/>
      <c r="M15" s="14">
        <f t="shared" si="3"/>
        <v>0</v>
      </c>
    </row>
    <row r="16" spans="1:13" ht="20.100000000000001" customHeight="1" x14ac:dyDescent="0.25">
      <c r="A16" s="15">
        <v>6</v>
      </c>
      <c r="B16" s="16" t="s">
        <v>44</v>
      </c>
      <c r="C16" s="17" t="s">
        <v>45</v>
      </c>
      <c r="D16" s="18" t="s">
        <v>46</v>
      </c>
      <c r="E16" s="10"/>
      <c r="F16" s="10"/>
      <c r="G16" s="11">
        <f t="shared" si="0"/>
        <v>0</v>
      </c>
      <c r="H16" s="10"/>
      <c r="I16" s="11">
        <f t="shared" si="1"/>
        <v>0</v>
      </c>
      <c r="J16" s="10"/>
      <c r="K16" s="19" t="str">
        <f t="shared" si="2"/>
        <v>--</v>
      </c>
      <c r="L16" s="13"/>
      <c r="M16" s="14">
        <f t="shared" si="3"/>
        <v>0</v>
      </c>
    </row>
    <row r="17" spans="1:13" ht="20.100000000000001" customHeight="1" x14ac:dyDescent="0.25">
      <c r="A17" s="6">
        <v>7</v>
      </c>
      <c r="B17" s="7" t="s">
        <v>47</v>
      </c>
      <c r="C17" s="8" t="s">
        <v>45</v>
      </c>
      <c r="D17" s="9" t="s">
        <v>46</v>
      </c>
      <c r="E17" s="10"/>
      <c r="F17" s="10"/>
      <c r="G17" s="11">
        <f t="shared" si="0"/>
        <v>0</v>
      </c>
      <c r="H17" s="10"/>
      <c r="I17" s="11">
        <f t="shared" si="1"/>
        <v>0</v>
      </c>
      <c r="J17" s="10"/>
      <c r="K17" s="12" t="str">
        <f t="shared" si="2"/>
        <v>--</v>
      </c>
      <c r="L17" s="13"/>
      <c r="M17" s="14">
        <f t="shared" si="3"/>
        <v>0</v>
      </c>
    </row>
    <row r="18" spans="1:13" ht="20.100000000000001" customHeight="1" x14ac:dyDescent="0.25">
      <c r="A18" s="15">
        <v>8</v>
      </c>
      <c r="B18" s="16" t="s">
        <v>48</v>
      </c>
      <c r="C18" s="17" t="s">
        <v>49</v>
      </c>
      <c r="D18" s="18" t="s">
        <v>50</v>
      </c>
      <c r="E18" s="10"/>
      <c r="F18" s="10"/>
      <c r="G18" s="11">
        <f t="shared" si="0"/>
        <v>0</v>
      </c>
      <c r="H18" s="10"/>
      <c r="I18" s="11">
        <f t="shared" si="1"/>
        <v>0</v>
      </c>
      <c r="J18" s="10"/>
      <c r="K18" s="19" t="str">
        <f t="shared" si="2"/>
        <v>--</v>
      </c>
      <c r="L18" s="13"/>
      <c r="M18" s="14">
        <f t="shared" si="3"/>
        <v>0</v>
      </c>
    </row>
    <row r="19" spans="1:13" ht="20.100000000000001" customHeight="1" x14ac:dyDescent="0.25">
      <c r="A19" s="6">
        <v>9</v>
      </c>
      <c r="B19" s="7" t="s">
        <v>51</v>
      </c>
      <c r="C19" s="8" t="s">
        <v>52</v>
      </c>
      <c r="D19" s="9" t="s">
        <v>53</v>
      </c>
      <c r="E19" s="10"/>
      <c r="F19" s="10"/>
      <c r="G19" s="11">
        <f t="shared" si="0"/>
        <v>0</v>
      </c>
      <c r="H19" s="10"/>
      <c r="I19" s="11">
        <f t="shared" si="1"/>
        <v>0</v>
      </c>
      <c r="J19" s="10"/>
      <c r="K19" s="12" t="str">
        <f t="shared" si="2"/>
        <v>--</v>
      </c>
      <c r="L19" s="13"/>
      <c r="M19" s="14">
        <f t="shared" si="3"/>
        <v>0</v>
      </c>
    </row>
    <row r="20" spans="1:13" ht="20.100000000000001" customHeight="1" x14ac:dyDescent="0.25">
      <c r="A20" s="15">
        <v>10</v>
      </c>
      <c r="B20" s="16" t="s">
        <v>54</v>
      </c>
      <c r="C20" s="17" t="s">
        <v>45</v>
      </c>
      <c r="D20" s="18" t="s">
        <v>55</v>
      </c>
      <c r="E20" s="10"/>
      <c r="F20" s="10"/>
      <c r="G20" s="11">
        <f t="shared" si="0"/>
        <v>0</v>
      </c>
      <c r="H20" s="10"/>
      <c r="I20" s="11">
        <f t="shared" si="1"/>
        <v>0</v>
      </c>
      <c r="J20" s="10"/>
      <c r="K20" s="19" t="str">
        <f t="shared" si="2"/>
        <v>--</v>
      </c>
      <c r="L20" s="13"/>
      <c r="M20" s="14">
        <f t="shared" si="3"/>
        <v>0</v>
      </c>
    </row>
    <row r="21" spans="1:13" ht="20.100000000000001" customHeight="1" x14ac:dyDescent="0.25">
      <c r="A21" s="6">
        <v>11</v>
      </c>
      <c r="B21" s="7" t="s">
        <v>56</v>
      </c>
      <c r="C21" s="8" t="s">
        <v>52</v>
      </c>
      <c r="D21" s="9" t="s">
        <v>57</v>
      </c>
      <c r="E21" s="10"/>
      <c r="F21" s="10"/>
      <c r="G21" s="11">
        <f t="shared" si="0"/>
        <v>0</v>
      </c>
      <c r="H21" s="10"/>
      <c r="I21" s="11">
        <f t="shared" si="1"/>
        <v>0</v>
      </c>
      <c r="J21" s="10"/>
      <c r="K21" s="12" t="str">
        <f t="shared" si="2"/>
        <v>--</v>
      </c>
      <c r="L21" s="13"/>
      <c r="M21" s="14">
        <f t="shared" si="3"/>
        <v>0</v>
      </c>
    </row>
    <row r="22" spans="1:13" ht="20.100000000000001" customHeight="1" x14ac:dyDescent="0.25">
      <c r="A22" s="15">
        <v>12</v>
      </c>
      <c r="B22" s="16" t="s">
        <v>58</v>
      </c>
      <c r="C22" s="17" t="s">
        <v>36</v>
      </c>
      <c r="D22" s="18" t="s">
        <v>59</v>
      </c>
      <c r="E22" s="10"/>
      <c r="F22" s="10"/>
      <c r="G22" s="11">
        <f t="shared" si="0"/>
        <v>0</v>
      </c>
      <c r="H22" s="10"/>
      <c r="I22" s="11">
        <f t="shared" si="1"/>
        <v>0</v>
      </c>
      <c r="J22" s="10"/>
      <c r="K22" s="19" t="str">
        <f t="shared" si="2"/>
        <v>--</v>
      </c>
      <c r="L22" s="13"/>
      <c r="M22" s="14">
        <f t="shared" si="3"/>
        <v>0</v>
      </c>
    </row>
    <row r="23" spans="1:13" ht="20.100000000000001" customHeight="1" x14ac:dyDescent="0.25">
      <c r="A23" s="6">
        <v>13</v>
      </c>
      <c r="B23" s="7" t="s">
        <v>60</v>
      </c>
      <c r="C23" s="8" t="s">
        <v>36</v>
      </c>
      <c r="D23" s="9" t="s">
        <v>61</v>
      </c>
      <c r="E23" s="10"/>
      <c r="F23" s="10"/>
      <c r="G23" s="11">
        <f t="shared" si="0"/>
        <v>0</v>
      </c>
      <c r="H23" s="10"/>
      <c r="I23" s="11">
        <f t="shared" si="1"/>
        <v>0</v>
      </c>
      <c r="J23" s="10"/>
      <c r="K23" s="12" t="str">
        <f t="shared" si="2"/>
        <v>--</v>
      </c>
      <c r="L23" s="13"/>
      <c r="M23" s="14">
        <f t="shared" si="3"/>
        <v>0</v>
      </c>
    </row>
    <row r="24" spans="1:13" ht="20.100000000000001" customHeight="1" x14ac:dyDescent="0.25">
      <c r="A24" s="15">
        <v>14</v>
      </c>
      <c r="B24" s="16" t="s">
        <v>62</v>
      </c>
      <c r="C24" s="17" t="s">
        <v>63</v>
      </c>
      <c r="D24" s="18" t="s">
        <v>64</v>
      </c>
      <c r="E24" s="10"/>
      <c r="F24" s="10"/>
      <c r="G24" s="11">
        <f t="shared" si="0"/>
        <v>0</v>
      </c>
      <c r="H24" s="10"/>
      <c r="I24" s="11">
        <f t="shared" si="1"/>
        <v>0</v>
      </c>
      <c r="J24" s="10"/>
      <c r="K24" s="19" t="str">
        <f t="shared" si="2"/>
        <v>--</v>
      </c>
      <c r="L24" s="13"/>
      <c r="M24" s="14">
        <f t="shared" si="3"/>
        <v>0</v>
      </c>
    </row>
    <row r="25" spans="1:13" ht="20.100000000000001" customHeight="1" x14ac:dyDescent="0.25">
      <c r="A25" s="6">
        <v>15</v>
      </c>
      <c r="B25" s="7" t="s">
        <v>65</v>
      </c>
      <c r="C25" s="8" t="s">
        <v>66</v>
      </c>
      <c r="D25" s="9" t="s">
        <v>67</v>
      </c>
      <c r="E25" s="10"/>
      <c r="F25" s="10"/>
      <c r="G25" s="11">
        <f t="shared" si="0"/>
        <v>0</v>
      </c>
      <c r="H25" s="10"/>
      <c r="I25" s="11">
        <f t="shared" si="1"/>
        <v>0</v>
      </c>
      <c r="J25" s="10"/>
      <c r="K25" s="12" t="str">
        <f t="shared" si="2"/>
        <v>--</v>
      </c>
      <c r="L25" s="13"/>
      <c r="M25" s="14">
        <f t="shared" si="3"/>
        <v>0</v>
      </c>
    </row>
    <row r="26" spans="1:13" ht="20.100000000000001" customHeight="1" x14ac:dyDescent="0.25">
      <c r="A26" s="15">
        <v>16</v>
      </c>
      <c r="B26" s="16" t="s">
        <v>68</v>
      </c>
      <c r="C26" s="17" t="s">
        <v>45</v>
      </c>
      <c r="D26" s="18" t="s">
        <v>69</v>
      </c>
      <c r="E26" s="10"/>
      <c r="F26" s="10"/>
      <c r="G26" s="11">
        <f t="shared" si="0"/>
        <v>0</v>
      </c>
      <c r="H26" s="10"/>
      <c r="I26" s="11">
        <f t="shared" si="1"/>
        <v>0</v>
      </c>
      <c r="J26" s="10"/>
      <c r="K26" s="19" t="str">
        <f t="shared" si="2"/>
        <v>--</v>
      </c>
      <c r="L26" s="13"/>
      <c r="M26" s="14">
        <f t="shared" si="3"/>
        <v>0</v>
      </c>
    </row>
    <row r="27" spans="1:13" ht="20.100000000000001" customHeight="1" x14ac:dyDescent="0.25">
      <c r="A27" s="6">
        <v>17</v>
      </c>
      <c r="B27" s="7" t="s">
        <v>70</v>
      </c>
      <c r="C27" s="8" t="s">
        <v>52</v>
      </c>
      <c r="D27" s="9" t="s">
        <v>71</v>
      </c>
      <c r="E27" s="10"/>
      <c r="F27" s="10"/>
      <c r="G27" s="11">
        <f t="shared" si="0"/>
        <v>0</v>
      </c>
      <c r="H27" s="10"/>
      <c r="I27" s="11">
        <f t="shared" si="1"/>
        <v>0</v>
      </c>
      <c r="J27" s="10"/>
      <c r="K27" s="12" t="str">
        <f t="shared" si="2"/>
        <v>--</v>
      </c>
      <c r="L27" s="13"/>
      <c r="M27" s="14">
        <f t="shared" si="3"/>
        <v>0</v>
      </c>
    </row>
    <row r="28" spans="1:13" ht="20.100000000000001" customHeight="1" x14ac:dyDescent="0.25">
      <c r="A28" s="15">
        <v>18</v>
      </c>
      <c r="B28" s="16" t="s">
        <v>72</v>
      </c>
      <c r="C28" s="17" t="s">
        <v>73</v>
      </c>
      <c r="D28" s="18" t="s">
        <v>59</v>
      </c>
      <c r="E28" s="10"/>
      <c r="F28" s="10"/>
      <c r="G28" s="11">
        <f t="shared" si="0"/>
        <v>0</v>
      </c>
      <c r="H28" s="10"/>
      <c r="I28" s="11">
        <f t="shared" si="1"/>
        <v>0</v>
      </c>
      <c r="J28" s="10"/>
      <c r="K28" s="19" t="str">
        <f t="shared" si="2"/>
        <v>--</v>
      </c>
      <c r="L28" s="13"/>
      <c r="M28" s="14">
        <f t="shared" si="3"/>
        <v>0</v>
      </c>
    </row>
    <row r="29" spans="1:13" ht="20.100000000000001" customHeight="1" x14ac:dyDescent="0.25">
      <c r="A29" s="6">
        <v>19</v>
      </c>
      <c r="B29" s="7" t="s">
        <v>74</v>
      </c>
      <c r="C29" s="8" t="s">
        <v>36</v>
      </c>
      <c r="D29" s="9" t="s">
        <v>61</v>
      </c>
      <c r="E29" s="10"/>
      <c r="F29" s="10"/>
      <c r="G29" s="11">
        <f t="shared" si="0"/>
        <v>0</v>
      </c>
      <c r="H29" s="10"/>
      <c r="I29" s="11">
        <f t="shared" si="1"/>
        <v>0</v>
      </c>
      <c r="J29" s="10"/>
      <c r="K29" s="12" t="str">
        <f t="shared" si="2"/>
        <v>--</v>
      </c>
      <c r="L29" s="13"/>
      <c r="M29" s="14">
        <f t="shared" si="3"/>
        <v>0</v>
      </c>
    </row>
    <row r="30" spans="1:13" ht="20.100000000000001" customHeight="1" x14ac:dyDescent="0.25">
      <c r="A30" s="15">
        <v>20</v>
      </c>
      <c r="B30" s="16" t="s">
        <v>75</v>
      </c>
      <c r="C30" s="17" t="s">
        <v>76</v>
      </c>
      <c r="D30" s="18" t="s">
        <v>77</v>
      </c>
      <c r="E30" s="10"/>
      <c r="F30" s="10"/>
      <c r="G30" s="11">
        <f t="shared" si="0"/>
        <v>0</v>
      </c>
      <c r="H30" s="10"/>
      <c r="I30" s="11">
        <f t="shared" si="1"/>
        <v>0</v>
      </c>
      <c r="J30" s="10"/>
      <c r="K30" s="19" t="str">
        <f t="shared" si="2"/>
        <v>--</v>
      </c>
      <c r="L30" s="13"/>
      <c r="M30" s="14">
        <f t="shared" si="3"/>
        <v>0</v>
      </c>
    </row>
    <row r="31" spans="1:13" ht="21.95" customHeight="1" x14ac:dyDescent="0.25">
      <c r="A31" s="20"/>
      <c r="B31" s="21" t="s">
        <v>78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2">
        <f>SUM(M11:M30)</f>
        <v>0</v>
      </c>
    </row>
  </sheetData>
  <mergeCells count="5">
    <mergeCell ref="A1:M1"/>
    <mergeCell ref="G3:M3"/>
    <mergeCell ref="A4:M4"/>
    <mergeCell ref="A3:F3"/>
    <mergeCell ref="A2:M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Material Usage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DigitGlance</dc:creator>
  <cp:lastModifiedBy>Idris Mustapha</cp:lastModifiedBy>
  <dcterms:created xsi:type="dcterms:W3CDTF">2026-04-26T21:44:44Z</dcterms:created>
  <dcterms:modified xsi:type="dcterms:W3CDTF">2026-05-02T09:10:29Z</dcterms:modified>
</cp:coreProperties>
</file>