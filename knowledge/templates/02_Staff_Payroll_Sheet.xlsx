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taff Payroll Sheet" sheetId="2" state="visible" r:id="rId2"/>
    <sheet xmlns:r="http://schemas.openxmlformats.org/officeDocument/2006/relationships" name="Payro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color rgb="00111111"/>
      <sz val="10"/>
    </font>
    <font>
      <name val="Arial"/>
      <b val="1"/>
      <color rgb="00085041"/>
      <sz val="9"/>
    </font>
    <font>
      <name val="Arial"/>
      <color rgb="00085041"/>
      <sz val="9"/>
    </font>
    <font>
      <name val="Arial"/>
      <b val="1"/>
      <color rgb="00085041"/>
      <sz val="10"/>
    </font>
    <font>
      <name val="Arial"/>
      <i val="1"/>
      <color rgb="00555555"/>
      <sz val="9"/>
    </font>
    <font>
      <name val="Arial"/>
      <color rgb="00555555"/>
      <sz val="10"/>
    </font>
    <font>
      <name val="Arial"/>
      <b val="1"/>
      <color rgb="00FFFFFF"/>
      <sz val="9"/>
    </font>
    <font>
      <name val="Arial"/>
      <color rgb="00555555"/>
      <sz val="9"/>
    </font>
    <font>
      <name val="Arial"/>
      <color rgb="001D9E75"/>
      <sz val="8"/>
    </font>
    <font>
      <name val="Arial"/>
      <color rgb="00085041"/>
      <sz val="10"/>
    </font>
    <font>
      <name val="Arial"/>
      <i val="1"/>
      <color rgb="00085041"/>
      <sz val="8"/>
    </font>
    <font>
      <name val="Arial"/>
      <b val="1"/>
      <color rgb="00085041"/>
      <sz val="13"/>
    </font>
    <font>
      <name val="Arial"/>
      <b val="1"/>
      <color rgb="00085041"/>
      <sz val="11"/>
    </font>
    <font>
      <name val="Arial"/>
      <b val="1"/>
      <color rgb="00085041"/>
      <sz val="14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1D9E75"/>
      </patternFill>
    </fill>
    <fill>
      <patternFill patternType="solid">
        <fgColor rgb="00F4F6F4"/>
      </patternFill>
    </fill>
    <fill>
      <patternFill patternType="solid">
        <fgColor rgb="00FFFFFF"/>
      </patternFill>
    </fill>
    <fill>
      <patternFill patternType="solid">
        <fgColor rgb="00D4F0E4"/>
      </patternFill>
    </fill>
    <fill>
      <patternFill patternType="solid">
        <fgColor rgb="00FFFBE6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1D9E75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1D9E75"/>
      </left>
      <right style="thin">
        <color rgb="001D9E75"/>
      </right>
      <top style="thin">
        <color rgb="001D9E75"/>
      </top>
      <bottom style="thin">
        <color rgb="001D9E75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0" fontId="0" fillId="4" borderId="0" pivotButton="0" quotePrefix="0" xfId="0"/>
    <xf numFmtId="0" fontId="6" fillId="6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right" vertical="center"/>
    </xf>
    <xf numFmtId="164" fontId="6" fillId="6" borderId="3" applyAlignment="1" pivotButton="0" quotePrefix="0" xfId="0">
      <alignment horizontal="right" vertical="center"/>
    </xf>
    <xf numFmtId="164" fontId="12" fillId="6" borderId="3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left" vertical="center"/>
    </xf>
    <xf numFmtId="164" fontId="6" fillId="6" borderId="4" applyAlignment="1" pivotButton="0" quotePrefix="0" xfId="0">
      <alignment horizontal="right" vertical="center"/>
    </xf>
    <xf numFmtId="0" fontId="13" fillId="6" borderId="0" applyAlignment="1" pivotButton="0" quotePrefix="0" xfId="0">
      <alignment horizontal="left" vertical="center" wrapText="1"/>
    </xf>
    <xf numFmtId="0" fontId="14" fillId="4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164" fontId="16" fillId="6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164" fontId="17" fillId="2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HOW TO USE  |  Staff Payroll Sheet  |  Digitglance Reliance</t>
        </is>
      </c>
    </row>
    <row r="2" ht="16" customHeight="1">
      <c r="A2" s="2" t="inlineStr">
        <is>
          <t xml:space="preserve">  Yellow cells = enter your data  |  Green cells = auto-calculated (do not edit)  |  Read each step before you begin</t>
        </is>
      </c>
    </row>
    <row r="3" ht="8" customHeight="1"/>
    <row r="4" ht="17" customHeight="1">
      <c r="A4" s="3" t="inlineStr">
        <is>
          <t xml:space="preserve">   Step 1:  School &amp; Month  —  Enter school name, month, year and PFA name in the header section</t>
        </is>
      </c>
    </row>
    <row r="5" ht="17" customHeight="1">
      <c r="A5" s="4" t="inlineStr">
        <is>
          <t xml:space="preserve">   Step 2:  Staff Roster  —  Enter each staff member's name, designation, department and grade level</t>
        </is>
      </c>
    </row>
    <row r="6" ht="17" customHeight="1">
      <c r="A6" s="3" t="inlineStr">
        <is>
          <t xml:space="preserve">   Step 3:  Basic Salary  —  Enter the gross monthly basic salary for each staff member in Column E</t>
        </is>
      </c>
    </row>
    <row r="7" ht="17" customHeight="1">
      <c r="A7" s="4" t="inlineStr">
        <is>
          <t xml:space="preserve">   Step 4:  Allowances  —  Enter housing, transport and other allowances in Columns F, G and H</t>
        </is>
      </c>
    </row>
    <row r="8" ht="17" customHeight="1">
      <c r="A8" s="3" t="inlineStr">
        <is>
          <t xml:space="preserve">   Step 5:  Gross Pay  —  Auto-calculates: Basic + All Allowances — do not edit</t>
        </is>
      </c>
    </row>
    <row r="9" ht="17" customHeight="1">
      <c r="A9" s="4" t="inlineStr">
        <is>
          <t xml:space="preserve">   Step 6:  Pension  —  Employee pension deducted at 8% of (Basic + Housing) per PRA 2004/2014</t>
        </is>
      </c>
    </row>
    <row r="10" ht="17" customHeight="1">
      <c r="A10" s="3" t="inlineStr">
        <is>
          <t xml:space="preserve">   Step 7:  NHF  —  National Housing Fund = 2.5% of Basic Salary (formal employees only)</t>
        </is>
      </c>
    </row>
    <row r="11" ht="17" customHeight="1">
      <c r="A11" s="4" t="inlineStr">
        <is>
          <t xml:space="preserve">   Step 8:  PAYE Tax  —  Estimated PAYE based on simplified Nigerian tax bands — verify with your LIRS/FIRS</t>
        </is>
      </c>
    </row>
    <row r="12" ht="17" customHeight="1">
      <c r="A12" s="3" t="inlineStr">
        <is>
          <t xml:space="preserve">   Step 9:  Net Pay  —  Auto-calculates: Gross minus Pension minus NHF minus PAYE minus Other Deductions</t>
        </is>
      </c>
    </row>
    <row r="13" ht="17" customHeight="1">
      <c r="A13" s="4" t="inlineStr">
        <is>
          <t xml:space="preserve">   Step 10:  Employer Pension  —  Employer contributes 10% of (Basic + Housing) — shown separately for PENCOM remittance</t>
        </is>
      </c>
    </row>
  </sheetData>
  <mergeCells count="12">
    <mergeCell ref="A1:H1"/>
    <mergeCell ref="A4:H4"/>
    <mergeCell ref="A9:H9"/>
    <mergeCell ref="A12:H12"/>
    <mergeCell ref="A7:H7"/>
    <mergeCell ref="A2:H2"/>
    <mergeCell ref="A10:H10"/>
    <mergeCell ref="A13:H13"/>
    <mergeCell ref="A11:H11"/>
    <mergeCell ref="A5:H5"/>
    <mergeCell ref="A8:H8"/>
    <mergeCell ref="A6:H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0"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4" customWidth="1" min="4" max="4"/>
    <col width="16" customWidth="1" min="5" max="5"/>
    <col width="15" customWidth="1" min="6" max="6"/>
    <col width="14" customWidth="1" min="7" max="7"/>
    <col width="13" customWidth="1" min="8" max="8"/>
    <col width="15" customWidth="1" min="9" max="9"/>
    <col width="17" customWidth="1" min="10" max="10"/>
    <col width="12" customWidth="1" min="11" max="11"/>
    <col width="14" customWidth="1" min="12" max="12"/>
    <col width="14" customWidth="1" min="13" max="13"/>
    <col width="16" customWidth="1" min="14" max="14"/>
    <col width="17" customWidth="1" min="15" max="15"/>
  </cols>
  <sheetData>
    <row r="1" ht="36" customHeight="1">
      <c r="A1" s="5" t="inlineStr">
        <is>
          <t xml:space="preserve">  DIGITGLANCE RELIANCE   |   Staff Payroll Sheet</t>
        </is>
      </c>
    </row>
    <row r="2" ht="16" customHeight="1">
      <c r="A2" s="6" t="inlineStr">
        <is>
          <t xml:space="preserve">  School | Monthly staff salary computation — allowances, pension, PAYE, NHF, net pay | N</t>
        </is>
      </c>
    </row>
    <row r="3" ht="16" customHeight="1">
      <c r="A3" s="7" t="inlineStr">
        <is>
          <t xml:space="preserve">  School Name: _______________________________________________</t>
        </is>
      </c>
      <c r="H3" s="8" t="inlineStr">
        <is>
          <t xml:space="preserve">  Date: 26/04/2026   |   www.digitglance.com</t>
        </is>
      </c>
    </row>
    <row r="4" ht="5" customHeight="1">
      <c r="A4" s="9" t="n"/>
    </row>
    <row r="5" ht="18" customHeight="1">
      <c r="A5" s="10" t="inlineStr">
        <is>
          <t>School Name:</t>
        </is>
      </c>
      <c r="B5" s="11" t="inlineStr">
        <is>
          <t>St. Gabriel's International School, Abuja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</row>
    <row r="6" ht="18" customHeight="1">
      <c r="A6" s="10" t="inlineStr">
        <is>
          <t>Month:</t>
        </is>
      </c>
      <c r="B6" s="12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 ht="18" customHeight="1">
      <c r="A7" s="10" t="inlineStr">
        <is>
          <t>Year:</t>
        </is>
      </c>
      <c r="B7" s="12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</row>
    <row r="8" ht="18" customHeight="1">
      <c r="A8" s="10" t="inlineStr">
        <is>
          <t>PFA Name:</t>
        </is>
      </c>
      <c r="B8" s="11" t="inlineStr">
        <is>
          <t>Stanbic IBTC Pension Managers Ltd</t>
        </is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 ht="18" customHeight="1">
      <c r="A9" s="10" t="inlineStr">
        <is>
          <t>Total Staff:</t>
        </is>
      </c>
      <c r="B9" s="12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</row>
    <row r="10" ht="8" customHeight="1"/>
    <row r="11" ht="26" customHeight="1">
      <c r="A11" s="13" t="inlineStr">
        <is>
          <t>#</t>
        </is>
      </c>
      <c r="B11" s="13" t="inlineStr">
        <is>
          <t>Staff Name</t>
        </is>
      </c>
      <c r="C11" s="13" t="inlineStr">
        <is>
          <t>Designation</t>
        </is>
      </c>
      <c r="D11" s="13" t="inlineStr">
        <is>
          <t>Dept.</t>
        </is>
      </c>
      <c r="E11" s="13" t="inlineStr">
        <is>
          <t>Basic
Salary (N)</t>
        </is>
      </c>
      <c r="F11" s="13" t="inlineStr">
        <is>
          <t>Housing
Allow. (N)</t>
        </is>
      </c>
      <c r="G11" s="13" t="inlineStr">
        <is>
          <t>Transport
Allow. (N)</t>
        </is>
      </c>
      <c r="H11" s="13" t="inlineStr">
        <is>
          <t>Other
Allow. (N)</t>
        </is>
      </c>
      <c r="I11" s="13" t="inlineStr">
        <is>
          <t>Gross
Pay (N)</t>
        </is>
      </c>
      <c r="J11" s="13" t="inlineStr">
        <is>
          <t>Employee
Pension 8% (N)</t>
        </is>
      </c>
      <c r="K11" s="13" t="inlineStr">
        <is>
          <t>NHF
2.5% (N)</t>
        </is>
      </c>
      <c r="L11" s="13" t="inlineStr">
        <is>
          <t>PAYE
Tax (N)</t>
        </is>
      </c>
      <c r="M11" s="13" t="inlineStr">
        <is>
          <t>Other
Deduct. (N)</t>
        </is>
      </c>
      <c r="N11" s="13" t="inlineStr">
        <is>
          <t>NET
PAY (N)</t>
        </is>
      </c>
      <c r="O11" s="13" t="inlineStr">
        <is>
          <t>Employer
Pension 10% (N)</t>
        </is>
      </c>
    </row>
    <row r="12" ht="19" customHeight="1">
      <c r="A12" s="14" t="n">
        <v>1</v>
      </c>
      <c r="B12" s="15" t="inlineStr">
        <is>
          <t>Mrs. Adaobi Okafor</t>
        </is>
      </c>
      <c r="C12" s="16" t="inlineStr">
        <is>
          <t>Principal</t>
        </is>
      </c>
      <c r="D12" s="17" t="inlineStr">
        <is>
          <t>Management</t>
        </is>
      </c>
      <c r="E12" s="18" t="n"/>
      <c r="F12" s="18" t="n"/>
      <c r="G12" s="18" t="n"/>
      <c r="H12" s="18" t="n"/>
      <c r="I12" s="19">
        <f>E12+F12+G12+H12</f>
        <v/>
      </c>
      <c r="J12" s="20">
        <f>(E12+F12)*0.08</f>
        <v/>
      </c>
      <c r="K12" s="20">
        <f>E12*0.025</f>
        <v/>
      </c>
      <c r="L12" s="20">
        <f>MAX(0,ROUND((I12-J12-K12-MAX(I12*0.20,16667))*0.07,0))</f>
        <v/>
      </c>
      <c r="M12" s="18" t="n"/>
      <c r="N12" s="19">
        <f>I12-J12-K12-L12-M12</f>
        <v/>
      </c>
      <c r="O12" s="20">
        <f>(E12+F12)*0.10</f>
        <v/>
      </c>
    </row>
    <row r="13" ht="19" customHeight="1">
      <c r="A13" s="21" t="n">
        <v>2</v>
      </c>
      <c r="B13" s="22" t="inlineStr">
        <is>
          <t>Mr. Emeka Eze</t>
        </is>
      </c>
      <c r="C13" s="23" t="inlineStr">
        <is>
          <t>Vice Principal (Admin)</t>
        </is>
      </c>
      <c r="D13" s="24" t="inlineStr">
        <is>
          <t>Management</t>
        </is>
      </c>
      <c r="E13" s="18" t="n"/>
      <c r="F13" s="18" t="n"/>
      <c r="G13" s="18" t="n"/>
      <c r="H13" s="18" t="n"/>
      <c r="I13" s="19">
        <f>E13+F13+G13+H13</f>
        <v/>
      </c>
      <c r="J13" s="20">
        <f>(E13+F13)*0.08</f>
        <v/>
      </c>
      <c r="K13" s="20">
        <f>E13*0.025</f>
        <v/>
      </c>
      <c r="L13" s="20">
        <f>MAX(0,ROUND((I13-J13-K13-MAX(I13*0.20,16667))*0.07,0))</f>
        <v/>
      </c>
      <c r="M13" s="18" t="n"/>
      <c r="N13" s="19">
        <f>I13-J13-K13-L13-M13</f>
        <v/>
      </c>
      <c r="O13" s="20">
        <f>(E13+F13)*0.10</f>
        <v/>
      </c>
    </row>
    <row r="14" ht="19" customHeight="1">
      <c r="A14" s="14" t="n">
        <v>3</v>
      </c>
      <c r="B14" s="15" t="inlineStr">
        <is>
          <t>Mrs. Chioma Obi</t>
        </is>
      </c>
      <c r="C14" s="16" t="inlineStr">
        <is>
          <t>Vice Principal (Acad.)</t>
        </is>
      </c>
      <c r="D14" s="17" t="inlineStr">
        <is>
          <t>Management</t>
        </is>
      </c>
      <c r="E14" s="18" t="n"/>
      <c r="F14" s="18" t="n"/>
      <c r="G14" s="18" t="n"/>
      <c r="H14" s="18" t="n"/>
      <c r="I14" s="19">
        <f>E14+F14+G14+H14</f>
        <v/>
      </c>
      <c r="J14" s="20">
        <f>(E14+F14)*0.08</f>
        <v/>
      </c>
      <c r="K14" s="20">
        <f>E14*0.025</f>
        <v/>
      </c>
      <c r="L14" s="20">
        <f>MAX(0,ROUND((I14-J14-K14-MAX(I14*0.20,16667))*0.07,0))</f>
        <v/>
      </c>
      <c r="M14" s="18" t="n"/>
      <c r="N14" s="19">
        <f>I14-J14-K14-L14-M14</f>
        <v/>
      </c>
      <c r="O14" s="20">
        <f>(E14+F14)*0.10</f>
        <v/>
      </c>
    </row>
    <row r="15" ht="19" customHeight="1">
      <c r="A15" s="21" t="n">
        <v>4</v>
      </c>
      <c r="B15" s="22" t="inlineStr">
        <is>
          <t>Mr. Tunde Adeyemi</t>
        </is>
      </c>
      <c r="C15" s="23" t="inlineStr">
        <is>
          <t>Mathematics Teacher</t>
        </is>
      </c>
      <c r="D15" s="24" t="inlineStr">
        <is>
          <t>Academic</t>
        </is>
      </c>
      <c r="E15" s="18" t="n"/>
      <c r="F15" s="18" t="n"/>
      <c r="G15" s="18" t="n"/>
      <c r="H15" s="18" t="n"/>
      <c r="I15" s="19">
        <f>E15+F15+G15+H15</f>
        <v/>
      </c>
      <c r="J15" s="20">
        <f>(E15+F15)*0.08</f>
        <v/>
      </c>
      <c r="K15" s="20">
        <f>E15*0.025</f>
        <v/>
      </c>
      <c r="L15" s="20">
        <f>MAX(0,ROUND((I15-J15-K15-MAX(I15*0.20,16667))*0.07,0))</f>
        <v/>
      </c>
      <c r="M15" s="18" t="n"/>
      <c r="N15" s="19">
        <f>I15-J15-K15-L15-M15</f>
        <v/>
      </c>
      <c r="O15" s="20">
        <f>(E15+F15)*0.10</f>
        <v/>
      </c>
    </row>
    <row r="16" ht="19" customHeight="1">
      <c r="A16" s="14" t="n">
        <v>5</v>
      </c>
      <c r="B16" s="15" t="inlineStr">
        <is>
          <t>Miss Fatimah Lawal</t>
        </is>
      </c>
      <c r="C16" s="16" t="inlineStr">
        <is>
          <t>English Language Tchr</t>
        </is>
      </c>
      <c r="D16" s="17" t="inlineStr">
        <is>
          <t>Academic</t>
        </is>
      </c>
      <c r="E16" s="18" t="n"/>
      <c r="F16" s="18" t="n"/>
      <c r="G16" s="18" t="n"/>
      <c r="H16" s="18" t="n"/>
      <c r="I16" s="19">
        <f>E16+F16+G16+H16</f>
        <v/>
      </c>
      <c r="J16" s="20">
        <f>(E16+F16)*0.08</f>
        <v/>
      </c>
      <c r="K16" s="20">
        <f>E16*0.025</f>
        <v/>
      </c>
      <c r="L16" s="20">
        <f>MAX(0,ROUND((I16-J16-K16-MAX(I16*0.20,16667))*0.07,0))</f>
        <v/>
      </c>
      <c r="M16" s="18" t="n"/>
      <c r="N16" s="19">
        <f>I16-J16-K16-L16-M16</f>
        <v/>
      </c>
      <c r="O16" s="20">
        <f>(E16+F16)*0.10</f>
        <v/>
      </c>
    </row>
    <row r="17" ht="19" customHeight="1">
      <c r="A17" s="21" t="n">
        <v>6</v>
      </c>
      <c r="B17" s="22" t="inlineStr">
        <is>
          <t>Mr. Uche Nwosu</t>
        </is>
      </c>
      <c r="C17" s="23" t="inlineStr">
        <is>
          <t>Physics Teacher</t>
        </is>
      </c>
      <c r="D17" s="24" t="inlineStr">
        <is>
          <t>Academic</t>
        </is>
      </c>
      <c r="E17" s="18" t="n"/>
      <c r="F17" s="18" t="n"/>
      <c r="G17" s="18" t="n"/>
      <c r="H17" s="18" t="n"/>
      <c r="I17" s="19">
        <f>E17+F17+G17+H17</f>
        <v/>
      </c>
      <c r="J17" s="20">
        <f>(E17+F17)*0.08</f>
        <v/>
      </c>
      <c r="K17" s="20">
        <f>E17*0.025</f>
        <v/>
      </c>
      <c r="L17" s="20">
        <f>MAX(0,ROUND((I17-J17-K17-MAX(I17*0.20,16667))*0.07,0))</f>
        <v/>
      </c>
      <c r="M17" s="18" t="n"/>
      <c r="N17" s="19">
        <f>I17-J17-K17-L17-M17</f>
        <v/>
      </c>
      <c r="O17" s="20">
        <f>(E17+F17)*0.10</f>
        <v/>
      </c>
    </row>
    <row r="18" ht="19" customHeight="1">
      <c r="A18" s="14" t="n">
        <v>7</v>
      </c>
      <c r="B18" s="15" t="inlineStr">
        <is>
          <t>Mrs. Ngozi Anyanwu</t>
        </is>
      </c>
      <c r="C18" s="16" t="inlineStr">
        <is>
          <t>Biology Teacher</t>
        </is>
      </c>
      <c r="D18" s="17" t="inlineStr">
        <is>
          <t>Academic</t>
        </is>
      </c>
      <c r="E18" s="18" t="n"/>
      <c r="F18" s="18" t="n"/>
      <c r="G18" s="18" t="n"/>
      <c r="H18" s="18" t="n"/>
      <c r="I18" s="19">
        <f>E18+F18+G18+H18</f>
        <v/>
      </c>
      <c r="J18" s="20">
        <f>(E18+F18)*0.08</f>
        <v/>
      </c>
      <c r="K18" s="20">
        <f>E18*0.025</f>
        <v/>
      </c>
      <c r="L18" s="20">
        <f>MAX(0,ROUND((I18-J18-K18-MAX(I18*0.20,16667))*0.07,0))</f>
        <v/>
      </c>
      <c r="M18" s="18" t="n"/>
      <c r="N18" s="19">
        <f>I18-J18-K18-L18-M18</f>
        <v/>
      </c>
      <c r="O18" s="20">
        <f>(E18+F18)*0.10</f>
        <v/>
      </c>
    </row>
    <row r="19" ht="19" customHeight="1">
      <c r="A19" s="21" t="n">
        <v>8</v>
      </c>
      <c r="B19" s="22" t="inlineStr">
        <is>
          <t>Mr. Suleiman Ahmed</t>
        </is>
      </c>
      <c r="C19" s="23" t="inlineStr">
        <is>
          <t>Chemistry Teacher</t>
        </is>
      </c>
      <c r="D19" s="24" t="inlineStr">
        <is>
          <t>Academic</t>
        </is>
      </c>
      <c r="E19" s="18" t="n"/>
      <c r="F19" s="18" t="n"/>
      <c r="G19" s="18" t="n"/>
      <c r="H19" s="18" t="n"/>
      <c r="I19" s="19">
        <f>E19+F19+G19+H19</f>
        <v/>
      </c>
      <c r="J19" s="20">
        <f>(E19+F19)*0.08</f>
        <v/>
      </c>
      <c r="K19" s="20">
        <f>E19*0.025</f>
        <v/>
      </c>
      <c r="L19" s="20">
        <f>MAX(0,ROUND((I19-J19-K19-MAX(I19*0.20,16667))*0.07,0))</f>
        <v/>
      </c>
      <c r="M19" s="18" t="n"/>
      <c r="N19" s="19">
        <f>I19-J19-K19-L19-M19</f>
        <v/>
      </c>
      <c r="O19" s="20">
        <f>(E19+F19)*0.10</f>
        <v/>
      </c>
    </row>
    <row r="20" ht="19" customHeight="1">
      <c r="A20" s="14" t="n">
        <v>9</v>
      </c>
      <c r="B20" s="15" t="inlineStr">
        <is>
          <t>Miss Amina Bello</t>
        </is>
      </c>
      <c r="C20" s="16" t="inlineStr">
        <is>
          <t>French Teacher</t>
        </is>
      </c>
      <c r="D20" s="17" t="inlineStr">
        <is>
          <t>Academic</t>
        </is>
      </c>
      <c r="E20" s="18" t="n"/>
      <c r="F20" s="18" t="n"/>
      <c r="G20" s="18" t="n"/>
      <c r="H20" s="18" t="n"/>
      <c r="I20" s="19">
        <f>E20+F20+G20+H20</f>
        <v/>
      </c>
      <c r="J20" s="20">
        <f>(E20+F20)*0.08</f>
        <v/>
      </c>
      <c r="K20" s="20">
        <f>E20*0.025</f>
        <v/>
      </c>
      <c r="L20" s="20">
        <f>MAX(0,ROUND((I20-J20-K20-MAX(I20*0.20,16667))*0.07,0))</f>
        <v/>
      </c>
      <c r="M20" s="18" t="n"/>
      <c r="N20" s="19">
        <f>I20-J20-K20-L20-M20</f>
        <v/>
      </c>
      <c r="O20" s="20">
        <f>(E20+F20)*0.10</f>
        <v/>
      </c>
    </row>
    <row r="21" ht="19" customHeight="1">
      <c r="A21" s="21" t="n">
        <v>10</v>
      </c>
      <c r="B21" s="22" t="inlineStr">
        <is>
          <t>Mr. Olu Fashola</t>
        </is>
      </c>
      <c r="C21" s="23" t="inlineStr">
        <is>
          <t>P.E. Teacher</t>
        </is>
      </c>
      <c r="D21" s="24" t="inlineStr">
        <is>
          <t>Academic</t>
        </is>
      </c>
      <c r="E21" s="18" t="n"/>
      <c r="F21" s="18" t="n"/>
      <c r="G21" s="18" t="n"/>
      <c r="H21" s="18" t="n"/>
      <c r="I21" s="19">
        <f>E21+F21+G21+H21</f>
        <v/>
      </c>
      <c r="J21" s="20">
        <f>(E21+F21)*0.08</f>
        <v/>
      </c>
      <c r="K21" s="20">
        <f>E21*0.025</f>
        <v/>
      </c>
      <c r="L21" s="20">
        <f>MAX(0,ROUND((I21-J21-K21-MAX(I21*0.20,16667))*0.07,0))</f>
        <v/>
      </c>
      <c r="M21" s="18" t="n"/>
      <c r="N21" s="19">
        <f>I21-J21-K21-L21-M21</f>
        <v/>
      </c>
      <c r="O21" s="20">
        <f>(E21+F21)*0.10</f>
        <v/>
      </c>
    </row>
    <row r="22" ht="19" customHeight="1">
      <c r="A22" s="14" t="n">
        <v>11</v>
      </c>
      <c r="B22" s="15" t="inlineStr">
        <is>
          <t>Mrs. Grace Effiong</t>
        </is>
      </c>
      <c r="C22" s="16" t="inlineStr">
        <is>
          <t>Primary Class Tchr 1</t>
        </is>
      </c>
      <c r="D22" s="17" t="inlineStr">
        <is>
          <t>Academic</t>
        </is>
      </c>
      <c r="E22" s="18" t="n"/>
      <c r="F22" s="18" t="n"/>
      <c r="G22" s="18" t="n"/>
      <c r="H22" s="18" t="n"/>
      <c r="I22" s="19">
        <f>E22+F22+G22+H22</f>
        <v/>
      </c>
      <c r="J22" s="20">
        <f>(E22+F22)*0.08</f>
        <v/>
      </c>
      <c r="K22" s="20">
        <f>E22*0.025</f>
        <v/>
      </c>
      <c r="L22" s="20">
        <f>MAX(0,ROUND((I22-J22-K22-MAX(I22*0.20,16667))*0.07,0))</f>
        <v/>
      </c>
      <c r="M22" s="18" t="n"/>
      <c r="N22" s="19">
        <f>I22-J22-K22-L22-M22</f>
        <v/>
      </c>
      <c r="O22" s="20">
        <f>(E22+F22)*0.10</f>
        <v/>
      </c>
    </row>
    <row r="23" ht="19" customHeight="1">
      <c r="A23" s="21" t="n">
        <v>12</v>
      </c>
      <c r="B23" s="22" t="inlineStr">
        <is>
          <t>Mr. Yusuf Garba</t>
        </is>
      </c>
      <c r="C23" s="23" t="inlineStr">
        <is>
          <t>Bursar</t>
        </is>
      </c>
      <c r="D23" s="24" t="inlineStr">
        <is>
          <t>Admin/Finance</t>
        </is>
      </c>
      <c r="E23" s="18" t="n"/>
      <c r="F23" s="18" t="n"/>
      <c r="G23" s="18" t="n"/>
      <c r="H23" s="18" t="n"/>
      <c r="I23" s="19">
        <f>E23+F23+G23+H23</f>
        <v/>
      </c>
      <c r="J23" s="20">
        <f>(E23+F23)*0.08</f>
        <v/>
      </c>
      <c r="K23" s="20">
        <f>E23*0.025</f>
        <v/>
      </c>
      <c r="L23" s="20">
        <f>MAX(0,ROUND((I23-J23-K23-MAX(I23*0.20,16667))*0.07,0))</f>
        <v/>
      </c>
      <c r="M23" s="18" t="n"/>
      <c r="N23" s="19">
        <f>I23-J23-K23-L23-M23</f>
        <v/>
      </c>
      <c r="O23" s="20">
        <f>(E23+F23)*0.10</f>
        <v/>
      </c>
    </row>
    <row r="24" ht="19" customHeight="1">
      <c r="A24" s="14" t="n">
        <v>13</v>
      </c>
      <c r="B24" s="15" t="inlineStr">
        <is>
          <t>Mrs. Kechi Dike</t>
        </is>
      </c>
      <c r="C24" s="16" t="inlineStr">
        <is>
          <t>Librarian</t>
        </is>
      </c>
      <c r="D24" s="17" t="inlineStr">
        <is>
          <t>Admin/Finance</t>
        </is>
      </c>
      <c r="E24" s="18" t="n"/>
      <c r="F24" s="18" t="n"/>
      <c r="G24" s="18" t="n"/>
      <c r="H24" s="18" t="n"/>
      <c r="I24" s="19">
        <f>E24+F24+G24+H24</f>
        <v/>
      </c>
      <c r="J24" s="20">
        <f>(E24+F24)*0.08</f>
        <v/>
      </c>
      <c r="K24" s="20">
        <f>E24*0.025</f>
        <v/>
      </c>
      <c r="L24" s="20">
        <f>MAX(0,ROUND((I24-J24-K24-MAX(I24*0.20,16667))*0.07,0))</f>
        <v/>
      </c>
      <c r="M24" s="18" t="n"/>
      <c r="N24" s="19">
        <f>I24-J24-K24-L24-M24</f>
        <v/>
      </c>
      <c r="O24" s="20">
        <f>(E24+F24)*0.10</f>
        <v/>
      </c>
    </row>
    <row r="25" ht="19" customHeight="1">
      <c r="A25" s="21" t="n">
        <v>14</v>
      </c>
      <c r="B25" s="22" t="inlineStr">
        <is>
          <t>Mr. Rasheed Ogunwale</t>
        </is>
      </c>
      <c r="C25" s="23" t="inlineStr">
        <is>
          <t>ICT Coordinator</t>
        </is>
      </c>
      <c r="D25" s="24" t="inlineStr">
        <is>
          <t>Academic</t>
        </is>
      </c>
      <c r="E25" s="18" t="n"/>
      <c r="F25" s="18" t="n"/>
      <c r="G25" s="18" t="n"/>
      <c r="H25" s="18" t="n"/>
      <c r="I25" s="19">
        <f>E25+F25+G25+H25</f>
        <v/>
      </c>
      <c r="J25" s="20">
        <f>(E25+F25)*0.08</f>
        <v/>
      </c>
      <c r="K25" s="20">
        <f>E25*0.025</f>
        <v/>
      </c>
      <c r="L25" s="20">
        <f>MAX(0,ROUND((I25-J25-K25-MAX(I25*0.20,16667))*0.07,0))</f>
        <v/>
      </c>
      <c r="M25" s="18" t="n"/>
      <c r="N25" s="19">
        <f>I25-J25-K25-L25-M25</f>
        <v/>
      </c>
      <c r="O25" s="20">
        <f>(E25+F25)*0.10</f>
        <v/>
      </c>
    </row>
    <row r="26" ht="19" customHeight="1">
      <c r="A26" s="14" t="n">
        <v>15</v>
      </c>
      <c r="B26" s="15" t="inlineStr">
        <is>
          <t>Mrs. Blessing Eze</t>
        </is>
      </c>
      <c r="C26" s="16" t="inlineStr">
        <is>
          <t>School Nurse</t>
        </is>
      </c>
      <c r="D26" s="17" t="inlineStr">
        <is>
          <t>Health</t>
        </is>
      </c>
      <c r="E26" s="18" t="n"/>
      <c r="F26" s="18" t="n"/>
      <c r="G26" s="18" t="n"/>
      <c r="H26" s="18" t="n"/>
      <c r="I26" s="19">
        <f>E26+F26+G26+H26</f>
        <v/>
      </c>
      <c r="J26" s="20">
        <f>(E26+F26)*0.08</f>
        <v/>
      </c>
      <c r="K26" s="20">
        <f>E26*0.025</f>
        <v/>
      </c>
      <c r="L26" s="20">
        <f>MAX(0,ROUND((I26-J26-K26-MAX(I26*0.20,16667))*0.07,0))</f>
        <v/>
      </c>
      <c r="M26" s="18" t="n"/>
      <c r="N26" s="19">
        <f>I26-J26-K26-L26-M26</f>
        <v/>
      </c>
      <c r="O26" s="20">
        <f>(E26+F26)*0.10</f>
        <v/>
      </c>
    </row>
    <row r="27" ht="19" customHeight="1">
      <c r="A27" s="21" t="n">
        <v>16</v>
      </c>
      <c r="B27" s="22" t="inlineStr">
        <is>
          <t>Mr. Chukwudi Obi</t>
        </is>
      </c>
      <c r="C27" s="23" t="inlineStr">
        <is>
          <t>Lab Technician</t>
        </is>
      </c>
      <c r="D27" s="24" t="inlineStr">
        <is>
          <t>Academic</t>
        </is>
      </c>
      <c r="E27" s="18" t="n"/>
      <c r="F27" s="18" t="n"/>
      <c r="G27" s="18" t="n"/>
      <c r="H27" s="18" t="n"/>
      <c r="I27" s="19">
        <f>E27+F27+G27+H27</f>
        <v/>
      </c>
      <c r="J27" s="20">
        <f>(E27+F27)*0.08</f>
        <v/>
      </c>
      <c r="K27" s="20">
        <f>E27*0.025</f>
        <v/>
      </c>
      <c r="L27" s="20">
        <f>MAX(0,ROUND((I27-J27-K27-MAX(I27*0.20,16667))*0.07,0))</f>
        <v/>
      </c>
      <c r="M27" s="18" t="n"/>
      <c r="N27" s="19">
        <f>I27-J27-K27-L27-M27</f>
        <v/>
      </c>
      <c r="O27" s="20">
        <f>(E27+F27)*0.10</f>
        <v/>
      </c>
    </row>
    <row r="28" ht="19" customHeight="1">
      <c r="A28" s="14" t="n">
        <v>17</v>
      </c>
      <c r="B28" s="15" t="inlineStr">
        <is>
          <t>Miss Halima Musa</t>
        </is>
      </c>
      <c r="C28" s="16" t="inlineStr">
        <is>
          <t>Guidance Counsellor</t>
        </is>
      </c>
      <c r="D28" s="17" t="inlineStr">
        <is>
          <t>Student Affairs</t>
        </is>
      </c>
      <c r="E28" s="18" t="n"/>
      <c r="F28" s="18" t="n"/>
      <c r="G28" s="18" t="n"/>
      <c r="H28" s="18" t="n"/>
      <c r="I28" s="19">
        <f>E28+F28+G28+H28</f>
        <v/>
      </c>
      <c r="J28" s="20">
        <f>(E28+F28)*0.08</f>
        <v/>
      </c>
      <c r="K28" s="20">
        <f>E28*0.025</f>
        <v/>
      </c>
      <c r="L28" s="20">
        <f>MAX(0,ROUND((I28-J28-K28-MAX(I28*0.20,16667))*0.07,0))</f>
        <v/>
      </c>
      <c r="M28" s="18" t="n"/>
      <c r="N28" s="19">
        <f>I28-J28-K28-L28-M28</f>
        <v/>
      </c>
      <c r="O28" s="20">
        <f>(E28+F28)*0.10</f>
        <v/>
      </c>
    </row>
    <row r="29" ht="19" customHeight="1">
      <c r="A29" s="21" t="n">
        <v>18</v>
      </c>
      <c r="B29" s="22" t="inlineStr">
        <is>
          <t>Mr. Segun Alabi</t>
        </is>
      </c>
      <c r="C29" s="23" t="inlineStr">
        <is>
          <t>Head of Security</t>
        </is>
      </c>
      <c r="D29" s="24" t="inlineStr">
        <is>
          <t>Support</t>
        </is>
      </c>
      <c r="E29" s="18" t="n"/>
      <c r="F29" s="18" t="n"/>
      <c r="G29" s="18" t="n"/>
      <c r="H29" s="18" t="n"/>
      <c r="I29" s="19">
        <f>E29+F29+G29+H29</f>
        <v/>
      </c>
      <c r="J29" s="20">
        <f>(E29+F29)*0.08</f>
        <v/>
      </c>
      <c r="K29" s="20">
        <f>E29*0.025</f>
        <v/>
      </c>
      <c r="L29" s="20">
        <f>MAX(0,ROUND((I29-J29-K29-MAX(I29*0.20,16667))*0.07,0))</f>
        <v/>
      </c>
      <c r="M29" s="18" t="n"/>
      <c r="N29" s="19">
        <f>I29-J29-K29-L29-M29</f>
        <v/>
      </c>
      <c r="O29" s="20">
        <f>(E29+F29)*0.10</f>
        <v/>
      </c>
    </row>
    <row r="30" ht="19" customHeight="1">
      <c r="A30" s="14" t="n">
        <v>19</v>
      </c>
      <c r="B30" s="15" t="inlineStr">
        <is>
          <t>Mrs. Taiwo Olayinka</t>
        </is>
      </c>
      <c r="C30" s="16" t="inlineStr">
        <is>
          <t>Admin Officer</t>
        </is>
      </c>
      <c r="D30" s="17" t="inlineStr">
        <is>
          <t>Admin/Finance</t>
        </is>
      </c>
      <c r="E30" s="18" t="n"/>
      <c r="F30" s="18" t="n"/>
      <c r="G30" s="18" t="n"/>
      <c r="H30" s="18" t="n"/>
      <c r="I30" s="19">
        <f>E30+F30+G30+H30</f>
        <v/>
      </c>
      <c r="J30" s="20">
        <f>(E30+F30)*0.08</f>
        <v/>
      </c>
      <c r="K30" s="20">
        <f>E30*0.025</f>
        <v/>
      </c>
      <c r="L30" s="20">
        <f>MAX(0,ROUND((I30-J30-K30-MAX(I30*0.20,16667))*0.07,0))</f>
        <v/>
      </c>
      <c r="M30" s="18" t="n"/>
      <c r="N30" s="19">
        <f>I30-J30-K30-L30-M30</f>
        <v/>
      </c>
      <c r="O30" s="20">
        <f>(E30+F30)*0.10</f>
        <v/>
      </c>
    </row>
    <row r="31" ht="19" customHeight="1">
      <c r="A31" s="21" t="n">
        <v>20</v>
      </c>
      <c r="B31" s="22" t="inlineStr">
        <is>
          <t>Mr. Babatunde Olusanya</t>
        </is>
      </c>
      <c r="C31" s="23" t="inlineStr">
        <is>
          <t>Maintenance Supervisor</t>
        </is>
      </c>
      <c r="D31" s="24" t="inlineStr">
        <is>
          <t>Support</t>
        </is>
      </c>
      <c r="E31" s="18" t="n"/>
      <c r="F31" s="18" t="n"/>
      <c r="G31" s="18" t="n"/>
      <c r="H31" s="18" t="n"/>
      <c r="I31" s="19">
        <f>E31+F31+G31+H31</f>
        <v/>
      </c>
      <c r="J31" s="20">
        <f>(E31+F31)*0.08</f>
        <v/>
      </c>
      <c r="K31" s="20">
        <f>E31*0.025</f>
        <v/>
      </c>
      <c r="L31" s="20">
        <f>MAX(0,ROUND((I31-J31-K31-MAX(I31*0.20,16667))*0.07,0))</f>
        <v/>
      </c>
      <c r="M31" s="18" t="n"/>
      <c r="N31" s="19">
        <f>I31-J31-K31-L31-M31</f>
        <v/>
      </c>
      <c r="O31" s="20">
        <f>(E31+F31)*0.10</f>
        <v/>
      </c>
    </row>
    <row r="32" ht="22" customHeight="1">
      <c r="A32" s="25" t="n"/>
      <c r="B32" s="26" t="inlineStr">
        <is>
          <t>MONTHLY TOTALS</t>
        </is>
      </c>
      <c r="C32" s="25" t="n"/>
      <c r="D32" s="25" t="n"/>
      <c r="E32" s="27">
        <f>SUM(E12:E31)</f>
        <v/>
      </c>
      <c r="F32" s="27">
        <f>SUM(F12:F31)</f>
        <v/>
      </c>
      <c r="G32" s="27">
        <f>SUM(G12:G31)</f>
        <v/>
      </c>
      <c r="H32" s="27">
        <f>SUM(H12:H31)</f>
        <v/>
      </c>
      <c r="I32" s="27">
        <f>SUM(I12:I31)</f>
        <v/>
      </c>
      <c r="J32" s="27">
        <f>SUM(J12:J31)</f>
        <v/>
      </c>
      <c r="K32" s="27">
        <f>SUM(K12:K31)</f>
        <v/>
      </c>
      <c r="L32" s="27">
        <f>SUM(L12:L31)</f>
        <v/>
      </c>
      <c r="M32" s="27">
        <f>SUM(M12:M31)</f>
        <v/>
      </c>
      <c r="N32" s="27">
        <f>SUM(N12:N31)</f>
        <v/>
      </c>
      <c r="O32" s="27">
        <f>SUM(O12:O31)</f>
        <v/>
      </c>
    </row>
    <row r="34" ht="8" customHeight="1"/>
    <row r="35" ht="36" customHeight="1">
      <c r="A35" s="28" t="inlineStr">
        <is>
          <t xml:space="preserve">  PENCOM REMITTANCE: Employee contribution (8%) + Employer contribution (10%) = Total 18% of Pensionable Pay. Remit monthly to your PFA within 7 days of salary payment.  PAYE: Remit to LIRS (Lagos) or FIRS within 10 days of month end.  NHF: Remit to Federal Mortgage Bank of Nigeria (FMBN) monthly.</t>
        </is>
      </c>
    </row>
  </sheetData>
  <mergeCells count="6">
    <mergeCell ref="A35:O35"/>
    <mergeCell ref="A2:O2"/>
    <mergeCell ref="H3:O3"/>
    <mergeCell ref="A3:G3"/>
    <mergeCell ref="A1:O1"/>
    <mergeCell ref="A4:O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5" t="inlineStr">
        <is>
          <t xml:space="preserve">  DIGITGLANCE RELIANCE   |   Monthly Payroll Summary</t>
        </is>
      </c>
    </row>
    <row r="2" ht="16" customHeight="1">
      <c r="A2" s="6" t="inlineStr">
        <is>
          <t xml:space="preserve">  School | Totals by department and statutory deduction breakdown</t>
        </is>
      </c>
    </row>
    <row r="3" ht="16" customHeight="1">
      <c r="A3" s="7" t="inlineStr">
        <is>
          <t xml:space="preserve">  School Name: _______________________________________________</t>
        </is>
      </c>
      <c r="E3" s="8" t="inlineStr">
        <is>
          <t xml:space="preserve">  Date: 26/04/2026   |   www.digitglance.com</t>
        </is>
      </c>
    </row>
    <row r="4" ht="5" customHeight="1">
      <c r="A4" s="9" t="n"/>
    </row>
    <row r="5" ht="28" customHeight="1">
      <c r="A5" s="29" t="inlineStr">
        <is>
          <t>PAYROLL COST SUMMARY</t>
        </is>
      </c>
    </row>
    <row r="7" ht="26" customHeight="1">
      <c r="A7" s="30" t="inlineStr">
        <is>
          <t xml:space="preserve">  Total Gross Pay (N)</t>
        </is>
      </c>
      <c r="E7" s="31">
        <f>'Staff Payroll Sheet'!I32</f>
        <v/>
      </c>
    </row>
    <row r="8" ht="26" customHeight="1">
      <c r="A8" s="32" t="inlineStr">
        <is>
          <t xml:space="preserve">  Total Employee Pension (N)</t>
        </is>
      </c>
      <c r="E8" s="31">
        <f>'Staff Payroll Sheet'!J32</f>
        <v/>
      </c>
    </row>
    <row r="9" ht="26" customHeight="1">
      <c r="A9" s="30" t="inlineStr">
        <is>
          <t xml:space="preserve">  Total NHF Deduction (N)</t>
        </is>
      </c>
      <c r="E9" s="31">
        <f>'Staff Payroll Sheet'!K32</f>
        <v/>
      </c>
    </row>
    <row r="10" ht="26" customHeight="1">
      <c r="A10" s="32" t="inlineStr">
        <is>
          <t xml:space="preserve">  Total PAYE Tax (N)</t>
        </is>
      </c>
      <c r="E10" s="31">
        <f>'Staff Payroll Sheet'!L32</f>
        <v/>
      </c>
    </row>
    <row r="11" ht="26" customHeight="1">
      <c r="A11" s="30" t="inlineStr">
        <is>
          <t xml:space="preserve">  Total Net Pay (N)</t>
        </is>
      </c>
      <c r="E11" s="31">
        <f>'Staff Payroll Sheet'!N32</f>
        <v/>
      </c>
    </row>
    <row r="12" ht="26" customHeight="1">
      <c r="A12" s="32" t="inlineStr">
        <is>
          <t xml:space="preserve">  Total Employer Pension (N)</t>
        </is>
      </c>
      <c r="E12" s="31">
        <f>'Staff Payroll Sheet'!O32</f>
        <v/>
      </c>
    </row>
    <row r="13" ht="26" customHeight="1">
      <c r="A13" s="30" t="inlineStr">
        <is>
          <t xml:space="preserve">  Total Payroll Cost (N)</t>
        </is>
      </c>
      <c r="E13" s="33">
        <f>'Staff Payroll Sheet'!I32+'Staff Payroll Sheet'!O32</f>
        <v/>
      </c>
    </row>
  </sheetData>
  <mergeCells count="20">
    <mergeCell ref="A8:D8"/>
    <mergeCell ref="E7:H7"/>
    <mergeCell ref="A1:H1"/>
    <mergeCell ref="A10:D10"/>
    <mergeCell ref="A13:D13"/>
    <mergeCell ref="A9:D9"/>
    <mergeCell ref="E3:H3"/>
    <mergeCell ref="E12:H12"/>
    <mergeCell ref="A11:D11"/>
    <mergeCell ref="E8:H8"/>
    <mergeCell ref="A2:H2"/>
    <mergeCell ref="A7:D7"/>
    <mergeCell ref="A5:H5"/>
    <mergeCell ref="E10:H10"/>
    <mergeCell ref="E13:H13"/>
    <mergeCell ref="A4:H4"/>
    <mergeCell ref="E9:H9"/>
    <mergeCell ref="A12:D12"/>
    <mergeCell ref="A3:D3"/>
    <mergeCell ref="E11:H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2026-04-26T21:52:14Z</dcterms:created>
  <dcterms:modified xmlns:dcterms="http://purl.org/dc/terms/" xmlns:xsi="http://www.w3.org/2001/XMLSchema-instance" xsi:type="dcterms:W3CDTF">2026-04-26T21:52:14Z</dcterms:modified>
</cp:coreProperties>
</file>